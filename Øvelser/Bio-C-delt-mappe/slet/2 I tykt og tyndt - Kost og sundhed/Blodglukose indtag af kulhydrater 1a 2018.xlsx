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tt474w\Google Drev\Arkiv\Documents\Biologi\1a 2017-18\I tykt og tyndt\"/>
    </mc:Choice>
  </mc:AlternateContent>
  <bookViews>
    <workbookView xWindow="0" yWindow="0" windowWidth="19200" windowHeight="13032"/>
  </bookViews>
  <sheets>
    <sheet name="Ark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F11" i="1"/>
  <c r="E11" i="1"/>
  <c r="D10" i="1" l="1"/>
  <c r="F10" i="1" l="1"/>
  <c r="E10" i="1"/>
  <c r="H10" i="1"/>
  <c r="G10" i="1"/>
  <c r="D11" i="1"/>
  <c r="D8" i="1"/>
  <c r="D9" i="1"/>
  <c r="D7" i="1"/>
  <c r="E9" i="1" l="1"/>
  <c r="F9" i="1"/>
  <c r="E8" i="1"/>
  <c r="F8" i="1"/>
  <c r="H8" i="1"/>
  <c r="F7" i="1"/>
  <c r="H7" i="1"/>
  <c r="E7" i="1"/>
  <c r="G7" i="1"/>
  <c r="G9" i="1"/>
  <c r="G11" i="1"/>
  <c r="G8" i="1"/>
</calcChain>
</file>

<file path=xl/sharedStrings.xml><?xml version="1.0" encoding="utf-8"?>
<sst xmlns="http://schemas.openxmlformats.org/spreadsheetml/2006/main" count="28" uniqueCount="28">
  <si>
    <t>Kulhydratindtag (g)</t>
  </si>
  <si>
    <t>Beregning af kulhydratindtag fra forskellige kilder</t>
  </si>
  <si>
    <t>Person</t>
  </si>
  <si>
    <t>Lyst hvedebrød (g)</t>
  </si>
  <si>
    <t>Cola (mL)</t>
  </si>
  <si>
    <t>En forsøgsperson skal indtage 0,75 g kulhydrat / kg kropsvægt, men må MAX. indtage 70 g kulhydrat.</t>
  </si>
  <si>
    <t>Kropsvægt (kg)</t>
  </si>
  <si>
    <t>T0</t>
  </si>
  <si>
    <t>T2</t>
  </si>
  <si>
    <t>T3</t>
  </si>
  <si>
    <t>T1</t>
  </si>
  <si>
    <t>T4</t>
  </si>
  <si>
    <t>T5</t>
  </si>
  <si>
    <t>T6</t>
  </si>
  <si>
    <t>Tid (min)</t>
  </si>
  <si>
    <t>Cola</t>
  </si>
  <si>
    <t>Kontrol</t>
  </si>
  <si>
    <t>Mette</t>
  </si>
  <si>
    <t>Druesukker</t>
  </si>
  <si>
    <t>Dextrose (g)</t>
  </si>
  <si>
    <t>Rugbrød (g)</t>
  </si>
  <si>
    <t xml:space="preserve"> </t>
  </si>
  <si>
    <t>Caroline</t>
  </si>
  <si>
    <t>Monica</t>
  </si>
  <si>
    <t>Jakob</t>
  </si>
  <si>
    <t>Sidsel</t>
  </si>
  <si>
    <t>Lyst brød</t>
  </si>
  <si>
    <t>Rugbrød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</si>
</sst>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'Ark1'!$I$7</c:f>
              <c:strCache>
                <c:ptCount val="1"/>
                <c:pt idx="0">
                  <c:v>Cola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'Ark1'!$J$6:$P$6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xVal>
          <c:yVal>
            <c:numRef>
              <c:f>'Ark1'!$J$7:$P$7</c:f>
              <c:numCache>
                <c:formatCode>General</c:formatCode>
                <c:ptCount val="7"/>
                <c:pt idx="0">
                  <c:v>5.4</c:v>
                </c:pt>
                <c:pt idx="1">
                  <c:v>6.7</c:v>
                </c:pt>
                <c:pt idx="2">
                  <c:v>8.1</c:v>
                </c:pt>
                <c:pt idx="3">
                  <c:v>8.1</c:v>
                </c:pt>
                <c:pt idx="4">
                  <c:v>7.2</c:v>
                </c:pt>
                <c:pt idx="5">
                  <c:v>6.2</c:v>
                </c:pt>
                <c:pt idx="6">
                  <c:v>5.0999999999999996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'Ark1'!$I$8</c:f>
              <c:strCache>
                <c:ptCount val="1"/>
                <c:pt idx="0">
                  <c:v>Rugbrød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'Ark1'!$J$6:$P$6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xVal>
          <c:yVal>
            <c:numRef>
              <c:f>'Ark1'!$J$8:$P$8</c:f>
              <c:numCache>
                <c:formatCode>General</c:formatCode>
                <c:ptCount val="7"/>
                <c:pt idx="0">
                  <c:v>4.8</c:v>
                </c:pt>
                <c:pt idx="1">
                  <c:v>5.6</c:v>
                </c:pt>
                <c:pt idx="2">
                  <c:v>8.4</c:v>
                </c:pt>
                <c:pt idx="3">
                  <c:v>7.8</c:v>
                </c:pt>
                <c:pt idx="4">
                  <c:v>5.9</c:v>
                </c:pt>
                <c:pt idx="5">
                  <c:v>5.2</c:v>
                </c:pt>
                <c:pt idx="6">
                  <c:v>5.3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'Ark1'!$I$9</c:f>
              <c:strCache>
                <c:ptCount val="1"/>
                <c:pt idx="0">
                  <c:v>Lyst brød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'Ark1'!$J$6:$P$6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xVal>
          <c:yVal>
            <c:numRef>
              <c:f>'Ark1'!$J$9:$P$9</c:f>
              <c:numCache>
                <c:formatCode>General</c:formatCode>
                <c:ptCount val="7"/>
                <c:pt idx="0">
                  <c:v>4.4000000000000004</c:v>
                </c:pt>
                <c:pt idx="1">
                  <c:v>4.2</c:v>
                </c:pt>
                <c:pt idx="2">
                  <c:v>4.9000000000000004</c:v>
                </c:pt>
                <c:pt idx="3">
                  <c:v>6.9</c:v>
                </c:pt>
                <c:pt idx="4">
                  <c:v>6.4</c:v>
                </c:pt>
                <c:pt idx="5">
                  <c:v>6.2</c:v>
                </c:pt>
                <c:pt idx="6">
                  <c:v>5.9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'Ark1'!$I$10</c:f>
              <c:strCache>
                <c:ptCount val="1"/>
                <c:pt idx="0">
                  <c:v>Druesukker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'Ark1'!$J$6:$P$6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xVal>
          <c:yVal>
            <c:numRef>
              <c:f>'Ark1'!$J$10:$P$10</c:f>
              <c:numCache>
                <c:formatCode>General</c:formatCode>
                <c:ptCount val="7"/>
                <c:pt idx="0">
                  <c:v>4.5999999999999996</c:v>
                </c:pt>
                <c:pt idx="1">
                  <c:v>5.0999999999999996</c:v>
                </c:pt>
                <c:pt idx="2">
                  <c:v>8.1999999999999993</c:v>
                </c:pt>
                <c:pt idx="3">
                  <c:v>7.7</c:v>
                </c:pt>
                <c:pt idx="4">
                  <c:v>9.6</c:v>
                </c:pt>
                <c:pt idx="5">
                  <c:v>7.9</c:v>
                </c:pt>
                <c:pt idx="6">
                  <c:v>6.3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'Ark1'!$I$11</c:f>
              <c:strCache>
                <c:ptCount val="1"/>
                <c:pt idx="0">
                  <c:v>Kontrol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'Ark1'!$J$6:$P$6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xVal>
          <c:yVal>
            <c:numRef>
              <c:f>'Ark1'!$J$11:$P$11</c:f>
              <c:numCache>
                <c:formatCode>General</c:formatCode>
                <c:ptCount val="7"/>
                <c:pt idx="0">
                  <c:v>5.5</c:v>
                </c:pt>
                <c:pt idx="1">
                  <c:v>6</c:v>
                </c:pt>
                <c:pt idx="2">
                  <c:v>5.9</c:v>
                </c:pt>
                <c:pt idx="3">
                  <c:v>5.7</c:v>
                </c:pt>
                <c:pt idx="4">
                  <c:v>5.7</c:v>
                </c:pt>
                <c:pt idx="5">
                  <c:v>5.5</c:v>
                </c:pt>
                <c:pt idx="6">
                  <c:v>5.3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655968"/>
        <c:axId val="365661848"/>
      </c:scatterChart>
      <c:valAx>
        <c:axId val="365655968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Tid, minutter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65661848"/>
        <c:crosses val="autoZero"/>
        <c:crossBetween val="midCat"/>
      </c:valAx>
      <c:valAx>
        <c:axId val="365661848"/>
        <c:scaling>
          <c:orientation val="minMax"/>
          <c:min val="3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Blodglukose mmol/L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65655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867508</xdr:colOff>
      <xdr:row>11</xdr:row>
      <xdr:rowOff>120161</xdr:rowOff>
    </xdr:from>
    <xdr:to>
      <xdr:col>16</xdr:col>
      <xdr:colOff>556846</xdr:colOff>
      <xdr:row>26</xdr:row>
      <xdr:rowOff>137746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"/>
  <sheetViews>
    <sheetView tabSelected="1" topLeftCell="E5" zoomScale="130" zoomScaleNormal="130" workbookViewId="0">
      <selection activeCell="P8" sqref="P8"/>
    </sheetView>
  </sheetViews>
  <sheetFormatPr defaultRowHeight="14.4" x14ac:dyDescent="0.3"/>
  <cols>
    <col min="3" max="3" width="14.44140625" bestFit="1" customWidth="1"/>
    <col min="4" max="4" width="18.33203125" bestFit="1" customWidth="1"/>
    <col min="5" max="5" width="17.6640625" bestFit="1" customWidth="1"/>
    <col min="7" max="7" width="14.5546875" customWidth="1"/>
    <col min="8" max="8" width="14.33203125" customWidth="1"/>
    <col min="10" max="10" width="4.109375" customWidth="1"/>
    <col min="11" max="11" width="5.33203125" customWidth="1"/>
    <col min="12" max="12" width="4.6640625" customWidth="1"/>
    <col min="13" max="13" width="4.44140625" customWidth="1"/>
    <col min="14" max="14" width="5.44140625" customWidth="1"/>
    <col min="15" max="15" width="4.5546875" customWidth="1"/>
    <col min="16" max="16" width="4.88671875" customWidth="1"/>
  </cols>
  <sheetData>
    <row r="2" spans="1:16" x14ac:dyDescent="0.3">
      <c r="A2" t="s">
        <v>1</v>
      </c>
    </row>
    <row r="4" spans="1:16" x14ac:dyDescent="0.3">
      <c r="A4" t="s">
        <v>5</v>
      </c>
    </row>
    <row r="5" spans="1:16" x14ac:dyDescent="0.3">
      <c r="J5" s="1" t="s">
        <v>7</v>
      </c>
      <c r="K5" s="1" t="s">
        <v>10</v>
      </c>
      <c r="L5" s="1" t="s">
        <v>8</v>
      </c>
      <c r="M5" s="1" t="s">
        <v>9</v>
      </c>
      <c r="N5" s="1" t="s">
        <v>11</v>
      </c>
      <c r="O5" s="1" t="s">
        <v>12</v>
      </c>
      <c r="P5" s="1" t="s">
        <v>13</v>
      </c>
    </row>
    <row r="6" spans="1:16" x14ac:dyDescent="0.3">
      <c r="B6" s="1" t="s">
        <v>2</v>
      </c>
      <c r="C6" s="1" t="s">
        <v>6</v>
      </c>
      <c r="D6" s="1" t="s">
        <v>0</v>
      </c>
      <c r="E6" s="1" t="s">
        <v>3</v>
      </c>
      <c r="F6" s="1" t="s">
        <v>19</v>
      </c>
      <c r="G6" s="1" t="s">
        <v>4</v>
      </c>
      <c r="H6" s="1" t="s">
        <v>20</v>
      </c>
      <c r="I6" s="1" t="s">
        <v>14</v>
      </c>
      <c r="J6">
        <v>0</v>
      </c>
      <c r="K6">
        <v>15</v>
      </c>
      <c r="L6">
        <v>30</v>
      </c>
      <c r="M6">
        <v>45</v>
      </c>
      <c r="N6">
        <v>60</v>
      </c>
      <c r="O6">
        <v>75</v>
      </c>
      <c r="P6">
        <v>90</v>
      </c>
    </row>
    <row r="7" spans="1:16" x14ac:dyDescent="0.3">
      <c r="B7" t="s">
        <v>22</v>
      </c>
      <c r="C7">
        <v>56</v>
      </c>
      <c r="D7">
        <f>0.75*C7</f>
        <v>42</v>
      </c>
      <c r="E7" s="2">
        <f>D7/(47/100)</f>
        <v>89.361702127659584</v>
      </c>
      <c r="F7" s="2">
        <f>D7/(89/100)</f>
        <v>47.191011235955052</v>
      </c>
      <c r="G7" s="2">
        <f>D7/(10.6/100)</f>
        <v>396.22641509433964</v>
      </c>
      <c r="H7" s="2">
        <f>D7/(37/100)</f>
        <v>113.51351351351352</v>
      </c>
      <c r="I7" t="s">
        <v>15</v>
      </c>
      <c r="J7">
        <v>5.4</v>
      </c>
      <c r="K7">
        <v>6.7</v>
      </c>
      <c r="L7">
        <v>8.1</v>
      </c>
      <c r="M7">
        <v>8.1</v>
      </c>
      <c r="N7">
        <v>7.2</v>
      </c>
      <c r="O7">
        <v>6.2</v>
      </c>
      <c r="P7">
        <v>5.0999999999999996</v>
      </c>
    </row>
    <row r="8" spans="1:16" x14ac:dyDescent="0.3">
      <c r="B8" t="s">
        <v>23</v>
      </c>
      <c r="C8">
        <v>63</v>
      </c>
      <c r="D8">
        <f t="shared" ref="D8:D11" si="0">0.75*C8</f>
        <v>47.25</v>
      </c>
      <c r="E8" s="2">
        <f t="shared" ref="E8:E11" si="1">D8/(47/100)</f>
        <v>100.53191489361703</v>
      </c>
      <c r="F8" s="2">
        <f t="shared" ref="F8:F11" si="2">D8/(89/100)</f>
        <v>53.08988764044944</v>
      </c>
      <c r="G8" s="2">
        <f>D8/(10.6/100)</f>
        <v>445.75471698113211</v>
      </c>
      <c r="H8" s="2">
        <f t="shared" ref="H8:H11" si="3">D8/(37/100)</f>
        <v>127.70270270270271</v>
      </c>
      <c r="I8" t="s">
        <v>27</v>
      </c>
      <c r="J8">
        <v>4.8</v>
      </c>
      <c r="K8">
        <v>5.6</v>
      </c>
      <c r="L8">
        <v>8.4</v>
      </c>
      <c r="M8">
        <v>7.8</v>
      </c>
      <c r="N8">
        <v>5.9</v>
      </c>
      <c r="O8">
        <v>5.2</v>
      </c>
      <c r="P8">
        <v>5.3</v>
      </c>
    </row>
    <row r="9" spans="1:16" x14ac:dyDescent="0.3">
      <c r="B9" t="s">
        <v>24</v>
      </c>
      <c r="C9">
        <v>72</v>
      </c>
      <c r="D9">
        <f t="shared" si="0"/>
        <v>54</v>
      </c>
      <c r="E9" s="2">
        <f t="shared" si="1"/>
        <v>114.8936170212766</v>
      </c>
      <c r="F9" s="2">
        <f t="shared" si="2"/>
        <v>60.674157303370784</v>
      </c>
      <c r="G9" s="2">
        <f>D9/(10.6/100)</f>
        <v>509.43396226415098</v>
      </c>
      <c r="H9" s="2" t="s">
        <v>21</v>
      </c>
      <c r="I9" t="s">
        <v>26</v>
      </c>
      <c r="J9">
        <v>4.4000000000000004</v>
      </c>
      <c r="K9">
        <v>4.2</v>
      </c>
      <c r="L9">
        <v>4.9000000000000004</v>
      </c>
      <c r="M9">
        <v>6.9</v>
      </c>
      <c r="N9">
        <v>6.4</v>
      </c>
      <c r="O9">
        <v>6.2</v>
      </c>
      <c r="P9">
        <v>5.9</v>
      </c>
    </row>
    <row r="10" spans="1:16" x14ac:dyDescent="0.3">
      <c r="B10" t="s">
        <v>25</v>
      </c>
      <c r="C10">
        <v>64</v>
      </c>
      <c r="D10">
        <f t="shared" si="0"/>
        <v>48</v>
      </c>
      <c r="E10" s="2">
        <f t="shared" si="1"/>
        <v>102.1276595744681</v>
      </c>
      <c r="F10" s="2">
        <f t="shared" si="2"/>
        <v>53.932584269662918</v>
      </c>
      <c r="G10" s="2">
        <f>D10/(10.6/100)</f>
        <v>452.83018867924528</v>
      </c>
      <c r="H10" s="2">
        <f t="shared" si="3"/>
        <v>129.72972972972974</v>
      </c>
      <c r="I10" t="s">
        <v>18</v>
      </c>
      <c r="J10">
        <v>4.5999999999999996</v>
      </c>
      <c r="K10">
        <v>5.0999999999999996</v>
      </c>
      <c r="L10">
        <v>8.1999999999999993</v>
      </c>
      <c r="M10">
        <v>7.7</v>
      </c>
      <c r="N10">
        <v>9.6</v>
      </c>
      <c r="O10">
        <v>7.9</v>
      </c>
      <c r="P10">
        <v>6.3</v>
      </c>
    </row>
    <row r="11" spans="1:16" x14ac:dyDescent="0.3">
      <c r="B11" t="s">
        <v>17</v>
      </c>
      <c r="D11">
        <f t="shared" si="0"/>
        <v>0</v>
      </c>
      <c r="E11" s="2">
        <f t="shared" si="1"/>
        <v>0</v>
      </c>
      <c r="F11" s="2">
        <f t="shared" si="2"/>
        <v>0</v>
      </c>
      <c r="G11" s="2">
        <f>D11/(10.6/100)</f>
        <v>0</v>
      </c>
      <c r="H11" s="2">
        <f t="shared" si="3"/>
        <v>0</v>
      </c>
      <c r="I11" t="s">
        <v>16</v>
      </c>
      <c r="J11">
        <v>5.5</v>
      </c>
      <c r="K11">
        <v>6</v>
      </c>
      <c r="L11">
        <v>5.9</v>
      </c>
      <c r="M11">
        <v>5.7</v>
      </c>
      <c r="N11">
        <v>5.7</v>
      </c>
      <c r="O11">
        <v>5.5</v>
      </c>
      <c r="P11">
        <v>5.3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Skov</dc:creator>
  <cp:lastModifiedBy>Mette Mark</cp:lastModifiedBy>
  <dcterms:created xsi:type="dcterms:W3CDTF">2018-01-09T10:34:32Z</dcterms:created>
  <dcterms:modified xsi:type="dcterms:W3CDTF">2018-02-02T14:17:18Z</dcterms:modified>
</cp:coreProperties>
</file>