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9523\Desktop\"/>
    </mc:Choice>
  </mc:AlternateContent>
  <bookViews>
    <workbookView xWindow="0" yWindow="0" windowWidth="20490" windowHeight="7530" xr2:uid="{2945AF9A-9FB5-4816-99BB-9F017E31369F}"/>
  </bookViews>
  <sheets>
    <sheet name="Ark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E11" i="1"/>
  <c r="F11" i="1" s="1"/>
  <c r="E8" i="1"/>
  <c r="F8" i="1" s="1"/>
  <c r="E9" i="1"/>
  <c r="G9" i="1" s="1"/>
  <c r="E7" i="1"/>
  <c r="F7" i="1" s="1"/>
  <c r="F9" i="1" l="1"/>
  <c r="G7" i="1"/>
  <c r="H9" i="1"/>
  <c r="H11" i="1"/>
  <c r="G11" i="1"/>
  <c r="G8" i="1"/>
  <c r="H8" i="1"/>
</calcChain>
</file>

<file path=xl/sharedStrings.xml><?xml version="1.0" encoding="utf-8"?>
<sst xmlns="http://schemas.openxmlformats.org/spreadsheetml/2006/main" count="25" uniqueCount="25">
  <si>
    <t>Mads</t>
  </si>
  <si>
    <t>Jesper</t>
  </si>
  <si>
    <t>Kristoffer</t>
  </si>
  <si>
    <t>Kulhydratindtag (g)</t>
  </si>
  <si>
    <t>Lotte</t>
  </si>
  <si>
    <t>Beregning af kulhydratindtag fra forskellige kilder</t>
  </si>
  <si>
    <t>Person</t>
  </si>
  <si>
    <t>Lyst hvedebrød (g)</t>
  </si>
  <si>
    <t>Æbler (g)</t>
  </si>
  <si>
    <t>Cola (mL)</t>
  </si>
  <si>
    <t>En forsøgsperson skal indtage 0,75 g kulhydrat / kg kropsvægt, men må MAX. indtage 70 g kulhydrat.</t>
  </si>
  <si>
    <t>Kropsvægt (kg)</t>
  </si>
  <si>
    <t>Oskar tager tid.</t>
  </si>
  <si>
    <t>T0</t>
  </si>
  <si>
    <t>T2</t>
  </si>
  <si>
    <t>T3</t>
  </si>
  <si>
    <t>T1</t>
  </si>
  <si>
    <t>T4</t>
  </si>
  <si>
    <t>T5</t>
  </si>
  <si>
    <t>T6</t>
  </si>
  <si>
    <t>Tid (min)</t>
  </si>
  <si>
    <t>Cola</t>
  </si>
  <si>
    <t>Brød</t>
  </si>
  <si>
    <t>Æble</t>
  </si>
  <si>
    <t>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</si>
</sst>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2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Cola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'Ark1'!$K$6:$Q$6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'Ark1'!$K$7:$Q$7</c:f>
              <c:numCache>
                <c:formatCode>General</c:formatCode>
                <c:ptCount val="7"/>
                <c:pt idx="0">
                  <c:v>4.7</c:v>
                </c:pt>
                <c:pt idx="1">
                  <c:v>6.3</c:v>
                </c:pt>
                <c:pt idx="2">
                  <c:v>9.4</c:v>
                </c:pt>
                <c:pt idx="3">
                  <c:v>8.4</c:v>
                </c:pt>
                <c:pt idx="4">
                  <c:v>8</c:v>
                </c:pt>
                <c:pt idx="5">
                  <c:v>6.8</c:v>
                </c:pt>
                <c:pt idx="6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E-4557-A851-5271005B890D}"/>
            </c:ext>
          </c:extLst>
        </c:ser>
        <c:ser>
          <c:idx val="1"/>
          <c:order val="1"/>
          <c:tx>
            <c:v>Brød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'Ark1'!$K$6:$Q$6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'Ark1'!$K$8:$Q$8</c:f>
              <c:numCache>
                <c:formatCode>General</c:formatCode>
                <c:ptCount val="7"/>
                <c:pt idx="0">
                  <c:v>5.2</c:v>
                </c:pt>
                <c:pt idx="1">
                  <c:v>5.2</c:v>
                </c:pt>
                <c:pt idx="2">
                  <c:v>6.5</c:v>
                </c:pt>
                <c:pt idx="3">
                  <c:v>7.3</c:v>
                </c:pt>
                <c:pt idx="4">
                  <c:v>6.6</c:v>
                </c:pt>
                <c:pt idx="5">
                  <c:v>5.8</c:v>
                </c:pt>
                <c:pt idx="6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7E-4557-A851-5271005B890D}"/>
            </c:ext>
          </c:extLst>
        </c:ser>
        <c:ser>
          <c:idx val="2"/>
          <c:order val="2"/>
          <c:tx>
            <c:v>Æble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'Ark1'!$K$6:$Q$6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'Ark1'!$K$9:$Q$9</c:f>
              <c:numCache>
                <c:formatCode>General</c:formatCode>
                <c:ptCount val="7"/>
                <c:pt idx="0">
                  <c:v>5.7</c:v>
                </c:pt>
                <c:pt idx="1">
                  <c:v>5.9</c:v>
                </c:pt>
                <c:pt idx="2">
                  <c:v>8.6999999999999993</c:v>
                </c:pt>
                <c:pt idx="3">
                  <c:v>6.9</c:v>
                </c:pt>
                <c:pt idx="4">
                  <c:v>5.9</c:v>
                </c:pt>
                <c:pt idx="5">
                  <c:v>5.3</c:v>
                </c:pt>
                <c:pt idx="6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7E-4557-A851-5271005B890D}"/>
            </c:ext>
          </c:extLst>
        </c:ser>
        <c:ser>
          <c:idx val="3"/>
          <c:order val="3"/>
          <c:tx>
            <c:v>Kontrol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'Ark1'!$K$6:$Q$6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'Ark1'!$K$11:$Q$11</c:f>
              <c:numCache>
                <c:formatCode>General</c:formatCode>
                <c:ptCount val="7"/>
                <c:pt idx="0">
                  <c:v>5.0999999999999996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4.7</c:v>
                </c:pt>
                <c:pt idx="4">
                  <c:v>5</c:v>
                </c:pt>
                <c:pt idx="5">
                  <c:v>4.9000000000000004</c:v>
                </c:pt>
                <c:pt idx="6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7E-4557-A851-5271005B8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52248"/>
        <c:axId val="429953888"/>
      </c:scatterChart>
      <c:valAx>
        <c:axId val="42995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Tid (minutter)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29953888"/>
        <c:crosses val="autoZero"/>
        <c:crossBetween val="midCat"/>
      </c:valAx>
      <c:valAx>
        <c:axId val="429953888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Blodsukker (mmol/L)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29952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91586</xdr:colOff>
      <xdr:row>1</xdr:row>
      <xdr:rowOff>53486</xdr:rowOff>
    </xdr:from>
    <xdr:to>
      <xdr:col>24</xdr:col>
      <xdr:colOff>406644</xdr:colOff>
      <xdr:row>15</xdr:row>
      <xdr:rowOff>129686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02107C7-A410-4B76-8D29-451A7609C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5FBA-81D0-4D4A-BCFD-777CE8B29851}">
  <dimension ref="B2:Q14"/>
  <sheetViews>
    <sheetView tabSelected="1" topLeftCell="I1" zoomScale="130" zoomScaleNormal="130" workbookViewId="0">
      <selection activeCell="AA7" sqref="AA7"/>
    </sheetView>
  </sheetViews>
  <sheetFormatPr defaultRowHeight="15" x14ac:dyDescent="0.25"/>
  <cols>
    <col min="4" max="4" width="14.42578125" bestFit="1" customWidth="1"/>
    <col min="5" max="5" width="18.28515625" bestFit="1" customWidth="1"/>
    <col min="6" max="6" width="17.7109375" bestFit="1" customWidth="1"/>
    <col min="8" max="8" width="14.5703125" customWidth="1"/>
    <col min="9" max="9" width="4.7109375" customWidth="1"/>
    <col min="11" max="11" width="4.140625" customWidth="1"/>
    <col min="12" max="12" width="5.28515625" customWidth="1"/>
    <col min="13" max="13" width="4.7109375" customWidth="1"/>
    <col min="14" max="14" width="4.42578125" customWidth="1"/>
    <col min="15" max="15" width="5.42578125" customWidth="1"/>
    <col min="16" max="16" width="4.5703125" customWidth="1"/>
    <col min="17" max="17" width="4.85546875" customWidth="1"/>
  </cols>
  <sheetData>
    <row r="2" spans="2:17" x14ac:dyDescent="0.25">
      <c r="B2" t="s">
        <v>5</v>
      </c>
    </row>
    <row r="4" spans="2:17" x14ac:dyDescent="0.25">
      <c r="B4" t="s">
        <v>10</v>
      </c>
    </row>
    <row r="5" spans="2:17" x14ac:dyDescent="0.25">
      <c r="K5" s="1" t="s">
        <v>13</v>
      </c>
      <c r="L5" s="1" t="s">
        <v>16</v>
      </c>
      <c r="M5" s="1" t="s">
        <v>14</v>
      </c>
      <c r="N5" s="1" t="s">
        <v>15</v>
      </c>
      <c r="O5" s="1" t="s">
        <v>17</v>
      </c>
      <c r="P5" s="1" t="s">
        <v>18</v>
      </c>
      <c r="Q5" s="1" t="s">
        <v>19</v>
      </c>
    </row>
    <row r="6" spans="2:17" x14ac:dyDescent="0.25">
      <c r="C6" s="1" t="s">
        <v>6</v>
      </c>
      <c r="D6" s="1" t="s">
        <v>11</v>
      </c>
      <c r="E6" s="1" t="s">
        <v>3</v>
      </c>
      <c r="F6" s="1" t="s">
        <v>7</v>
      </c>
      <c r="G6" s="1" t="s">
        <v>8</v>
      </c>
      <c r="H6" s="1" t="s">
        <v>9</v>
      </c>
      <c r="I6" s="1"/>
      <c r="J6" s="1" t="s">
        <v>20</v>
      </c>
      <c r="K6">
        <v>0</v>
      </c>
      <c r="L6">
        <v>15</v>
      </c>
      <c r="M6">
        <v>30</v>
      </c>
      <c r="N6">
        <v>45</v>
      </c>
      <c r="O6">
        <v>60</v>
      </c>
      <c r="P6">
        <v>75</v>
      </c>
      <c r="Q6">
        <v>90</v>
      </c>
    </row>
    <row r="7" spans="2:17" x14ac:dyDescent="0.25">
      <c r="C7" t="s">
        <v>0</v>
      </c>
      <c r="D7">
        <v>83.4</v>
      </c>
      <c r="E7">
        <f>0.75*D7</f>
        <v>62.550000000000004</v>
      </c>
      <c r="F7" s="3">
        <f>E7/(44/100)</f>
        <v>142.15909090909091</v>
      </c>
      <c r="G7" s="3">
        <f>E7/(13.8/100)</f>
        <v>453.26086956521738</v>
      </c>
      <c r="H7" s="2">
        <f>E7/(10.6/100)</f>
        <v>590.09433962264154</v>
      </c>
      <c r="I7" s="2"/>
      <c r="J7" t="s">
        <v>21</v>
      </c>
      <c r="K7">
        <v>4.7</v>
      </c>
      <c r="L7">
        <v>6.3</v>
      </c>
      <c r="M7">
        <v>9.4</v>
      </c>
      <c r="N7">
        <v>8.4</v>
      </c>
      <c r="O7">
        <v>8</v>
      </c>
      <c r="P7">
        <v>6.8</v>
      </c>
      <c r="Q7">
        <v>5.7</v>
      </c>
    </row>
    <row r="8" spans="2:17" x14ac:dyDescent="0.25">
      <c r="C8" t="s">
        <v>1</v>
      </c>
      <c r="D8">
        <v>86</v>
      </c>
      <c r="E8">
        <f t="shared" ref="E8:E11" si="0">0.75*D8</f>
        <v>64.5</v>
      </c>
      <c r="F8" s="2">
        <f t="shared" ref="F8:F11" si="1">E8/(44/100)</f>
        <v>146.59090909090909</v>
      </c>
      <c r="G8" s="3">
        <f t="shared" ref="G8:G11" si="2">E8/(13.8/100)</f>
        <v>467.39130434782606</v>
      </c>
      <c r="H8" s="3">
        <f>E8/(10.6/100)</f>
        <v>608.4905660377359</v>
      </c>
      <c r="I8" s="3"/>
      <c r="J8" t="s">
        <v>22</v>
      </c>
      <c r="K8">
        <v>5.2</v>
      </c>
      <c r="L8">
        <v>5.2</v>
      </c>
      <c r="M8">
        <v>6.5</v>
      </c>
      <c r="N8">
        <v>7.3</v>
      </c>
      <c r="O8">
        <v>6.6</v>
      </c>
      <c r="P8">
        <v>5.8</v>
      </c>
      <c r="Q8">
        <v>5.0999999999999996</v>
      </c>
    </row>
    <row r="9" spans="2:17" x14ac:dyDescent="0.25">
      <c r="C9" t="s">
        <v>2</v>
      </c>
      <c r="D9">
        <v>74.400000000000006</v>
      </c>
      <c r="E9">
        <f t="shared" si="0"/>
        <v>55.800000000000004</v>
      </c>
      <c r="F9" s="3">
        <f t="shared" si="1"/>
        <v>126.81818181818183</v>
      </c>
      <c r="G9" s="2">
        <f t="shared" si="2"/>
        <v>404.3478260869565</v>
      </c>
      <c r="H9" s="3">
        <f>E9/(10.6/100)</f>
        <v>526.41509433962267</v>
      </c>
      <c r="I9" s="3"/>
      <c r="J9" t="s">
        <v>23</v>
      </c>
      <c r="K9">
        <v>5.7</v>
      </c>
      <c r="L9">
        <v>5.9</v>
      </c>
      <c r="M9">
        <v>8.6999999999999993</v>
      </c>
      <c r="N9">
        <v>6.9</v>
      </c>
      <c r="O9">
        <v>5.9</v>
      </c>
      <c r="P9">
        <v>5.3</v>
      </c>
      <c r="Q9">
        <v>5</v>
      </c>
    </row>
    <row r="10" spans="2:17" x14ac:dyDescent="0.25">
      <c r="F10" s="3"/>
      <c r="G10" s="3"/>
      <c r="H10" s="3"/>
      <c r="I10" s="3"/>
    </row>
    <row r="11" spans="2:17" x14ac:dyDescent="0.25">
      <c r="C11" t="s">
        <v>4</v>
      </c>
      <c r="D11">
        <v>60.5</v>
      </c>
      <c r="E11">
        <f t="shared" si="0"/>
        <v>45.375</v>
      </c>
      <c r="F11" s="3">
        <f t="shared" si="1"/>
        <v>103.125</v>
      </c>
      <c r="G11" s="3">
        <f t="shared" si="2"/>
        <v>328.80434782608694</v>
      </c>
      <c r="H11" s="3">
        <f>E11/(10.6/100)</f>
        <v>428.06603773584908</v>
      </c>
      <c r="I11" s="3"/>
      <c r="J11" t="s">
        <v>24</v>
      </c>
      <c r="K11">
        <v>5.0999999999999996</v>
      </c>
      <c r="L11">
        <v>5.0999999999999996</v>
      </c>
      <c r="M11">
        <v>5.0999999999999996</v>
      </c>
      <c r="N11">
        <v>4.7</v>
      </c>
      <c r="O11">
        <v>5</v>
      </c>
      <c r="P11">
        <v>4.9000000000000004</v>
      </c>
      <c r="Q11">
        <v>4.5999999999999996</v>
      </c>
    </row>
    <row r="14" spans="2:17" x14ac:dyDescent="0.25">
      <c r="C14" t="s">
        <v>12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Skov</dc:creator>
  <cp:lastModifiedBy>Charlotte Skov</cp:lastModifiedBy>
  <dcterms:created xsi:type="dcterms:W3CDTF">2018-01-09T10:34:32Z</dcterms:created>
  <dcterms:modified xsi:type="dcterms:W3CDTF">2018-01-09T13:16:09Z</dcterms:modified>
</cp:coreProperties>
</file>